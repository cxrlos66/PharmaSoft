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3cbfcd64f45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21 casos" sheetId="1" r:id="Rf2d9a774a4084a11"/>
    <x:sheet xmlns:r="http://schemas.openxmlformats.org/officeDocument/2006/relationships" name="Resumen" sheetId="2" r:id="R1d9dad3f1cf74e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1D3E67"/>
      <x:name val="Carlito"/>
    </x:font>
    <x:font>
      <x:b/>
      <x:sz val="11"/>
      <x:color rgb="FFFFFFFF"/>
      <x:name val="Carlito"/>
    </x:font>
    <x:font>
      <x:b/>
      <x:sz val="11"/>
      <x:color rgb="FF166534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C"/>
      </x:patternFill>
    </x:fill>
    <x:fill>
      <x:patternFill patternType="solid">
        <x:fgColor rgb="FF2465A9"/>
      </x:patternFill>
    </x:fill>
    <x:fill>
      <x:patternFill patternType="solid">
        <x:fgColor rgb="FFF1F5F9"/>
      </x:patternFill>
    </x:fill>
    <x:fill>
      <x:patternFill patternType="solid">
        <x:fgColor rgb="FFE0F5E9"/>
      </x:patternFill>
    </x:fill>
    <x:fill>
      <x:patternFill patternType="solid">
        <x:fgColor rgb="FFDCEBFA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3fc37587744a63" /><Relationship Type="http://schemas.openxmlformats.org/officeDocument/2006/relationships/theme" Target="/xl/theme/theme1.xml" Id="R5759e4548770482c" /><Relationship Type="http://schemas.openxmlformats.org/officeDocument/2006/relationships/sharedStrings" Target="/xl/sharedStrings.xml" Id="R12625e265969438a" /><Relationship Type="http://schemas.openxmlformats.org/officeDocument/2006/relationships/worksheet" Target="/xl/worksheets/sheet1.xml" Id="Rf2d9a774a4084a11" /><Relationship Type="http://schemas.openxmlformats.org/officeDocument/2006/relationships/worksheet" Target="/xl/worksheets/sheet2.xml" Id="R1d9dad3f1cf74e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39" hidden="0" customWidth="1"/>
    <x:col min="4" max="4" width="40" hidden="0" customWidth="1"/>
    <x:col min="5" max="5" width="46" hidden="0" customWidth="1"/>
    <x:col min="6" max="6" width="53" hidden="0" customWidth="1"/>
    <x:col min="7" max="7" width="12" hidden="0" customWidth="1"/>
    <x:col min="8" max="8" width="42" hidden="0" customWidth="1"/>
    <x:col min="9" max="9" width="52" hidden="0" customWidth="1"/>
  </x:cols>
  <x:sheetData>
    <x:row r="1" ht="33" customHeight="1">
      <x:c r="A1" s="3" t="str">
        <x:v>PHARMASOFT | ACTIVIDAD AUTÓNOMA S9 · MATRIZ DE PRUEBAS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7" t="str">
        <x:v>17 casos base + 4 casos propios | resultados documentados el 10/10/2026 | Evidencias: carpeta evidencias/</x:v>
      </x:c>
      <x:c r="B2" s="7"/>
      <x:c r="C2" s="7"/>
      <x:c r="D2" s="7"/>
      <x:c r="E2" s="7"/>
      <x:c r="F2" s="7"/>
      <x:c r="G2" s="7"/>
      <x:c r="H2" s="7"/>
      <x:c r="I2" s="7"/>
    </x:row>
    <x:row r="4" ht="31" customHeight="1">
      <x:c r="A4" s="12" t="str">
        <x:v>ID</x:v>
      </x:c>
      <x:c r="B4" s="12" t="str">
        <x:v>Grupo</x:v>
      </x:c>
      <x:c r="C4" s="12" t="str">
        <x:v>Precondición</x:v>
      </x:c>
      <x:c r="D4" s="12" t="str">
        <x:v>Datos / acción</x:v>
      </x:c>
      <x:c r="E4" s="12" t="str">
        <x:v>Resultado esperado</x:v>
      </x:c>
      <x:c r="F4" s="12" t="str">
        <x:v>Resultado obtenido</x:v>
      </x:c>
      <x:c r="G4" s="12" t="str">
        <x:v>Estado</x:v>
      </x:c>
      <x:c r="H4" s="12" t="str">
        <x:v>Evidencia</x:v>
      </x:c>
      <x:c r="I4" s="12" t="str">
        <x:v>Observaciones / pendientes</x:v>
      </x:c>
    </x:row>
    <x:row r="5" ht="68" customHeight="1">
      <x:c r="A5" s="18" t="str">
        <x:v>B-01</x:v>
      </x:c>
      <x:c r="B5" s="18" t="str">
        <x:v>Buscadores</x:v>
      </x:c>
      <x:c r="C5" s="18" t="str">
        <x:v>Existe cliente inactivo y cliente activo.</x:v>
      </x:c>
      <x:c r="D5" s="18" t="str">
        <x:v>DNI 70123456; búsqueda «mari».</x:v>
      </x:c>
      <x:c r="E5" s="18" t="str">
        <x:v>Inactivo no aparece; activo encontrado sin tilde.</x:v>
      </x:c>
      <x:c r="F5" s="18" t="str">
        <x:v>Sin coincidencias por DNI; María Elena aparece con «mari».</x:v>
      </x:c>
      <x:c r="G5" s="24" t="str">
        <x:v>PASA</x:v>
      </x:c>
      <x:c r="H5" s="18" t="str">
        <x:v>B-01_1.png, B-01_2.png</x:v>
      </x:c>
      <x:c r="I5" s="18" t="str">
        <x:v>Verificar en el módulo Clientes que el DNI introducido pertenece al inactivo.</x:v>
      </x:c>
    </x:row>
    <x:row r="6" ht="68" customHeight="1">
      <x:c r="A6" s="20" t="str">
        <x:v>B-02</x:v>
      </x:c>
      <x:c r="B6" s="20" t="str">
        <x:v>Buscadores</x:v>
      </x:c>
      <x:c r="C6" s="20" t="str">
        <x:v>Catálogo de productos cargado.</x:v>
      </x:c>
      <x:c r="D6" s="20" t="str">
        <x:v>Buscar «napro» y «vitaminas», agregar con Enter.</x:v>
      </x:c>
      <x:c r="E6" s="20" t="str">
        <x:v>Resultados con precio/stock; Enter incorpora primera coincidencia sin confirmar.</x:v>
      </x:c>
      <x:c r="F6" s="20" t="str">
        <x:v>Naproxeno S/15.80, stock 30; 4 vitaminas; Naproxeno + Complejo B en detalle, total S/38.30.</x:v>
      </x:c>
      <x:c r="G6" s="24" t="str">
        <x:v>PASA</x:v>
      </x:c>
      <x:c r="H6" s="20" t="str">
        <x:v>B-02_1.png, B-02_2.png, B-02_3.png</x:v>
      </x:c>
      <x:c r="I6" s="20" t="str">
        <x:v>El uso físico de Enter no se acredita por imagen estática.</x:v>
      </x:c>
    </x:row>
    <x:row r="7" ht="68" customHeight="1">
      <x:c r="A7" s="18" t="str">
        <x:v>C-01</x:v>
      </x:c>
      <x:c r="B7" s="18" t="str">
        <x:v>Cálculos</x:v>
      </x:c>
      <x:c r="C7" s="18" t="str">
        <x:v>Cliente activo, Paracetamol disponible.</x:v>
      </x:c>
      <x:c r="D7" s="18" t="str">
        <x:v>Paracetamol S/12.50 x 3.</x:v>
      </x:c>
      <x:c r="E7" s="18" t="str">
        <x:v>12.50 × 3 = S/37.50.</x:v>
      </x:c>
      <x:c r="F7" s="18" t="str">
        <x:v>Subtotal y total estimado S/37.50.</x:v>
      </x:c>
      <x:c r="G7" s="24" t="str">
        <x:v>PASA</x:v>
      </x:c>
      <x:c r="H7" s="18" t="str">
        <x:v>C-01_spa.png</x:v>
      </x:c>
      <x:c r="I7" s="18" t="str">
        <x:v>Operación manual confirmada.</x:v>
      </x:c>
    </x:row>
    <x:row r="8" ht="68" customHeight="1">
      <x:c r="A8" s="20" t="str">
        <x:v>C-02</x:v>
      </x:c>
      <x:c r="B8" s="20" t="str">
        <x:v>Cálculos</x:v>
      </x:c>
      <x:c r="C8" s="20" t="str">
        <x:v>Vitamina D disponible, precio decimal.</x:v>
      </x:c>
      <x:c r="D8" s="20" t="str">
        <x:v>Vitamina D S/18.90 x 3.</x:v>
      </x:c>
      <x:c r="E8" s="20" t="str">
        <x:v>18.90 × 3 = S/56.70.</x:v>
      </x:c>
      <x:c r="F8" s="20" t="str">
        <x:v>Subtotal y total estimado S/56.70.</x:v>
      </x:c>
      <x:c r="G8" s="24" t="str">
        <x:v>PASA</x:v>
      </x:c>
      <x:c r="H8" s="20" t="str">
        <x:v>C-02_spa.png</x:v>
      </x:c>
      <x:c r="I8" s="20" t="str">
        <x:v>Formato con dos decimales.</x:v>
      </x:c>
    </x:row>
    <x:row r="9" ht="68" customHeight="1">
      <x:c r="A9" s="18" t="str">
        <x:v>C-03</x:v>
      </x:c>
      <x:c r="B9" s="18" t="str">
        <x:v>Cálculos</x:v>
      </x:c>
      <x:c r="C9" s="18" t="str">
        <x:v>Tres productos añadidos.</x:v>
      </x:c>
      <x:c r="D9" s="18" t="str">
        <x:v>Vitamina D x3, Ibuprofeno x1, Complejo B x1; quitar Ibuprofeno.</x:v>
      </x:c>
      <x:c r="E9" s="18" t="str">
        <x:v>56.70+19.00+22.50=98.20; 98.20-19.00=79.20.</x:v>
      </x:c>
      <x:c r="F9" s="18" t="str">
        <x:v>Total disminuyó S/98.20→S/79.20.</x:v>
      </x:c>
      <x:c r="G9" s="24" t="str">
        <x:v>PASA</x:v>
      </x:c>
      <x:c r="H9" s="18" t="str">
        <x:v>C-03_1.png, C-03_2.png</x:v>
      </x:c>
      <x:c r="I9" s="18" t="str">
        <x:v>Eliminación de fila intermedia.</x:v>
      </x:c>
    </x:row>
    <x:row r="10" ht="68" customHeight="1">
      <x:c r="A10" s="20" t="str">
        <x:v>C-04</x:v>
      </x:c>
      <x:c r="B10" s="20" t="str">
        <x:v>Cálculos</x:v>
      </x:c>
      <x:c r="C10" s="20" t="str">
        <x:v>C-03 con dos líneas válidas.</x:v>
      </x:c>
      <x:c r="D10" s="20" t="str">
        <x:v>Confirmar Vitamina D x3 + Complejo B x1.</x:v>
      </x:c>
      <x:c r="E10" s="20" t="str">
        <x:v>56.70+22.50 = S/79.20; backend = SPA; HTTP 201.</x:v>
      </x:c>
      <x:c r="F10" s="20" t="str">
        <x:v>Venta 000025; 201 Created; comprobante S/79.20.</x:v>
      </x:c>
      <x:c r="G10" s="24" t="str">
        <x:v>PASA</x:v>
      </x:c>
      <x:c r="H10" s="20" t="str">
        <x:v>C-04_1.png, C-04_2.png</x:v>
      </x:c>
      <x:c r="I10" s="20" t="str">
        <x:v>Comprobado resultado calculado en backend.</x:v>
      </x:c>
    </x:row>
    <x:row r="11" ht="68" customHeight="1">
      <x:c r="A11" s="18" t="str">
        <x:v>V-01</x:v>
      </x:c>
      <x:c r="B11" s="18" t="str">
        <x:v>Validaciones</x:v>
      </x:c>
      <x:c r="C11" s="18" t="str">
        <x:v>Formulario nuevo y vacío.</x:v>
      </x:c>
      <x:c r="D11" s="18" t="str">
        <x:v>Pulsar Revisar venta sin cliente ni líneas.</x:v>
      </x:c>
      <x:c r="E11" s="18" t="str">
        <x:v>Mensajes de cliente/detalle; no confirma ni envía POST.</x:v>
      </x:c>
      <x:c r="F11" s="18" t="str">
        <x:v>Ambos mensajes mostrados y no se abrió confirmación.</x:v>
      </x:c>
      <x:c r="G11" s="24" t="str">
        <x:v>PASA</x:v>
      </x:c>
      <x:c r="H11" s="18" t="str">
        <x:v>V-01_spa.png</x:v>
      </x:c>
      <x:c r="I11" s="18" t="str">
        <x:v>La ausencia de POST no está documentada aquí en Network.</x:v>
      </x:c>
    </x:row>
    <x:row r="12" ht="68" customHeight="1">
      <x:c r="A12" s="20" t="str">
        <x:v>V-02</x:v>
      </x:c>
      <x:c r="B12" s="20" t="str">
        <x:v>Validaciones</x:v>
      </x:c>
      <x:c r="C12" s="20" t="str">
        <x:v>Una línea de Paracetamol.</x:v>
      </x:c>
      <x:c r="D12" s="20" t="str">
        <x:v>Cantidad 0; posteriormente 2.5.</x:v>
      </x:c>
      <x:c r="E12" s="20" t="str">
        <x:v>Ambos rechazados por requerir entero positivo.</x:v>
      </x:c>
      <x:c r="F12" s="20" t="str">
        <x:v>Mensajes correctos; no confirmación; con 2.5 muestra total S/31.25.</x:v>
      </x:c>
      <x:c r="G12" s="24" t="str">
        <x:v>PASA</x:v>
      </x:c>
      <x:c r="H12" s="20" t="str">
        <x:v>V-02_1.png, V-02_2.png</x:v>
      </x:c>
      <x:c r="I12" s="20" t="str">
        <x:v>Hallazgo UX: suma un subtotal para cantidad inválida.</x:v>
      </x:c>
    </x:row>
    <x:row r="13" ht="68" customHeight="1">
      <x:c r="A13" s="18" t="str">
        <x:v>V-03</x:v>
      </x:c>
      <x:c r="B13" s="18" t="str">
        <x:v>Validaciones</x:v>
      </x:c>
      <x:c r="C13" s="18" t="str">
        <x:v>Jabón antibacterial con stock 2.</x:v>
      </x:c>
      <x:c r="D13" s="18" t="str">
        <x:v>Solicitar 3 unidades.</x:v>
      </x:c>
      <x:c r="E13" s="18" t="str">
        <x:v>Mostrar «Supera el stock (2)»; impedir confirmar.</x:v>
      </x:c>
      <x:c r="F13" s="18" t="str">
        <x:v>Mensaje correcto; confirmación no visible.</x:v>
      </x:c>
      <x:c r="G13" s="24" t="str">
        <x:v>PASA</x:v>
      </x:c>
      <x:c r="H13" s="18" t="str">
        <x:v>V-03_spa.png</x:v>
      </x:c>
      <x:c r="I13" s="18" t="str">
        <x:v>Rechazo desde SPA; contrastar caso API en Postman.</x:v>
      </x:c>
    </x:row>
    <x:row r="14" ht="68" customHeight="1">
      <x:c r="A14" s="20" t="str">
        <x:v>V-04</x:v>
      </x:c>
      <x:c r="B14" s="20" t="str">
        <x:v>Validaciones</x:v>
      </x:c>
      <x:c r="C14" s="20" t="str">
        <x:v>Jabón antibacterial ya en FormArray.</x:v>
      </x:c>
      <x:c r="D14" s="20" t="str">
        <x:v>Agregar otra vez cuando cantidad es 1.</x:v>
      </x:c>
      <x:c r="E14" s="20" t="str">
        <x:v>«En la venta: 1»; cantidad 2, una línea; 18.90×2=37.80.</x:v>
      </x:c>
      <x:c r="F14" s="20" t="str">
        <x:v>Cantidad 1→2 sin duplicación; total S/37.80.</x:v>
      </x:c>
      <x:c r="G14" s="24" t="str">
        <x:v>PASA</x:v>
      </x:c>
      <x:c r="H14" s="20" t="str">
        <x:v>V-04_1.png, V-04_2.png</x:v>
      </x:c>
      <x:c r="I14" s="20" t="str">
        <x:v>Consistencia de líneas en SPA.</x:v>
      </x:c>
    </x:row>
    <x:row r="15" ht="68" customHeight="1">
      <x:c r="A15" s="18" t="str">
        <x:v>V-05</x:v>
      </x:c>
      <x:c r="B15" s="18" t="str">
        <x:v>Validaciones</x:v>
      </x:c>
      <x:c r="C15" s="18" t="str">
        <x:v>Cliente 1 y producto 1 existentes.</x:v>
      </x:c>
      <x:c r="D15" s="18" t="str">
        <x:v>POST con dos líneas del mismo productoId 1.</x:v>
      </x:c>
      <x:c r="E15" s="18" t="str">
        <x:v>Regla definida: rechazar duplicados, sin descontar existencias.</x:v>
      </x:c>
      <x:c r="F15" s="18" t="str">
        <x:v>HTTP 409 «La venta repite un producto».</x:v>
      </x:c>
      <x:c r="G15" s="24" t="str">
        <x:v>PASA</x:v>
      </x:c>
      <x:c r="H15" s="18" t="str">
        <x:v>V-05_spa.png</x:v>
      </x:c>
      <x:c r="I15" s="18" t="str">
        <x:v>Pendiente comprobar en BD que stock no cambió.</x:v>
      </x:c>
    </x:row>
    <x:row r="16" ht="68" customHeight="1">
      <x:c r="A16" s="20" t="str">
        <x:v>F-01</x:v>
      </x:c>
      <x:c r="B16" s="20" t="str">
        <x:v>Confirmación</x:v>
      </x:c>
      <x:c r="C16" s="20" t="str">
        <x:v>Formulario válido, total S/12.50.</x:v>
      </x:c>
      <x:c r="D16" s="20" t="str">
        <x:v>Abrir resumen y pulsar Volver.</x:v>
      </x:c>
      <x:c r="E16" s="20" t="str">
        <x:v>Cerrar resumen sin POST; mantener formulario.</x:v>
      </x:c>
      <x:c r="F16" s="20" t="str">
        <x:v>Resumen cerrado, detalle retenido, Network sin POST.</x:v>
      </x:c>
      <x:c r="G16" s="24" t="str">
        <x:v>PASA</x:v>
      </x:c>
      <x:c r="H16" s="20" t="str">
        <x:v>F-01_1.png, F-01_2.png</x:v>
      </x:c>
      <x:c r="I16" s="20" t="str">
        <x:v>Confirmado visualmente.</x:v>
      </x:c>
    </x:row>
    <x:row r="17" ht="68" customHeight="1">
      <x:c r="A17" s="18" t="str">
        <x:v>F-02</x:v>
      </x:c>
      <x:c r="B17" s="18" t="str">
        <x:v>Confirmación</x:v>
      </x:c>
      <x:c r="C17" s="18" t="str">
        <x:v>Formulario válido con Paracetamol x1.</x:v>
      </x:c>
      <x:c r="D17" s="18" t="str">
        <x:v>Presionar Confirmar venta dos veces seguidas.</x:v>
      </x:c>
      <x:c r="E17" s="18" t="str">
        <x:v>Sólo un POST y una venta; botón queda bloqueado durante el envío.</x:v>
      </x:c>
      <x:c r="F17" s="18" t="str">
        <x:v>Un POST 201, comprobante 000026 S/12.50.</x:v>
      </x:c>
      <x:c r="G17" s="24" t="str">
        <x:v>PASA</x:v>
      </x:c>
      <x:c r="H17" s="18" t="str">
        <x:v>F-02_spa.png</x:v>
      </x:c>
      <x:c r="I17" s="18" t="str">
        <x:v>El instante de botón deshabilitado no se ve en captura.</x:v>
      </x:c>
    </x:row>
    <x:row r="18" ht="68" customHeight="1">
      <x:c r="A18" s="20" t="str">
        <x:v>M-01</x:v>
      </x:c>
      <x:c r="B18" s="20" t="str">
        <x:v>Mensajes</x:v>
      </x:c>
      <x:c r="C18" s="20" t="str">
        <x:v>Jabón antibacterial stock 2; dos pestañas con 2 unidades.</x:v>
      </x:c>
      <x:c r="D18" s="20" t="str">
        <x:v>Primera confirma y segunda intenta confirmar con datos previos.</x:v>
      </x:c>
      <x:c r="E18" s="20" t="str">
        <x:v>Primer POST 201; segundo 409, no duplicar stock; recuperación sin recargar.</x:v>
      </x:c>
      <x:c r="F18" s="20" t="str">
        <x:v>Venta 000027 por S/37.80, segundo POST 409; luego venta 000028 S/9.50 sin recarga.</x:v>
      </x:c>
      <x:c r="G18" s="24" t="str">
        <x:v>PASA</x:v>
      </x:c>
      <x:c r="H18" s="20" t="str">
        <x:v>M-01_1.png, M-01_2.png, M-01_3.png</x:v>
      </x:c>
      <x:c r="I18" s="20" t="str">
        <x:v>Hallazgo UX: tras 409 producto sin nombre y S/0.00.</x:v>
      </x:c>
    </x:row>
    <x:row r="19" ht="68" customHeight="1">
      <x:c r="A19" s="18" t="str">
        <x:v>M-02</x:v>
      </x:c>
      <x:c r="B19" s="18" t="str">
        <x:v>Mensajes</x:v>
      </x:c>
      <x:c r="C19" s="18" t="str">
        <x:v>Cliente inactivo ID 4.</x:v>
      </x:c>
      <x:c r="D19" s="18" t="str">
        <x:v>POST clienteId 4 + productoId 1, cantidad 1.</x:v>
      </x:c>
      <x:c r="E19" s="18" t="str">
        <x:v>409 indicando inactividad, sin registrar ni descontar.</x:v>
      </x:c>
      <x:c r="F19" s="18" t="str">
        <x:v>HTTP 409 «El cliente está inactivo».</x:v>
      </x:c>
      <x:c r="G19" s="24" t="str">
        <x:v>PASA</x:v>
      </x:c>
      <x:c r="H19" s="18" t="str">
        <x:v>M-02_spa.png</x:v>
      </x:c>
      <x:c r="I19" s="18" t="str">
        <x:v>El código y el texto son explícitos.</x:v>
      </x:c>
    </x:row>
    <x:row r="20" ht="68" customHeight="1">
      <x:c r="A20" s="20" t="str">
        <x:v>I-01</x:v>
      </x:c>
      <x:c r="B20" s="20" t="str">
        <x:v>Impresión</x:v>
      </x:c>
      <x:c r="C20" s="20" t="str">
        <x:v>Ventas registrada, anulada y consulta con filtros.</x:v>
      </x:c>
      <x:c r="D20" s="20" t="str">
        <x:v>Imprimir al registrar, venta anulada y consulta.</x:v>
      </x:c>
      <x:c r="E20" s="20" t="str">
        <x:v>Sin menú; DNI/pie; sello ANULADA; resumen de filtros y total sin anuladas.</x:v>
      </x:c>
      <x:c r="F20" s="20" t="str">
        <x:v>Vista previa 000029 S/9.50; anulada 000021; consulta total S/1,119.20.</x:v>
      </x:c>
      <x:c r="G20" s="24" t="str">
        <x:v>PASA</x:v>
      </x:c>
      <x:c r="H20" s="20" t="str">
        <x:v>I-01_1.png, I-01_2.png, I-01_3.png</x:v>
      </x:c>
      <x:c r="I20" s="20" t="str">
        <x:v>Vistas previas visibles. Confirmar que los tres PDF están guardados localmente.</x:v>
      </x:c>
    </x:row>
    <x:row r="21" ht="68" customHeight="1">
      <x:c r="A21" s="18" t="str">
        <x:v>X-01</x:v>
      </x:c>
      <x:c r="B21" s="18" t="str">
        <x:v>Consistencia</x:v>
      </x:c>
      <x:c r="C21" s="18" t="str">
        <x:v>Papel higiénico stock inicial 15.</x:v>
      </x:c>
      <x:c r="D21" s="18" t="str">
        <x:v>Ventas 000028 y 000029 con 1 unidad cada una.</x:v>
      </x:c>
      <x:c r="E21" s="18" t="str">
        <x:v>15-1-1=13; comprobantes y consulta coinciden.</x:v>
      </x:c>
      <x:c r="F21" s="18" t="str">
        <x:v>Stock 13, ventas y montos acordes.</x:v>
      </x:c>
      <x:c r="G21" s="24" t="str">
        <x:v>PASA</x:v>
      </x:c>
      <x:c r="H21" s="18" t="str">
        <x:v>X-01_1.png, X-01_2.png, X-01_3.png</x:v>
      </x:c>
      <x:c r="I21" s="18" t="str">
        <x:v>Control de stock y trazabilidad.</x:v>
      </x:c>
    </x:row>
    <x:row r="22" ht="68" customHeight="1">
      <x:c r="A22" s="20" t="str">
        <x:v>B-03</x:v>
      </x:c>
      <x:c r="B22" s="20" t="str">
        <x:v>Buscadores</x:v>
      </x:c>
      <x:c r="C22" s="20" t="str">
        <x:v>Catálogo activo cargado.</x:v>
      </x:c>
      <x:c r="D22" s="20" t="str">
        <x:v>Buscar productoXYZ999.</x:v>
      </x:c>
      <x:c r="E22" s="20" t="str">
        <x:v>Aviso sin coincidencias; no crear línea; total S/0.00.</x:v>
      </x:c>
      <x:c r="F22" s="20" t="str">
        <x:v>Mensaje de inexistencia, detalle vacío y S/0.00.</x:v>
      </x:c>
      <x:c r="G22" s="24" t="str">
        <x:v>PASA</x:v>
      </x:c>
      <x:c r="H22" s="20" t="str">
        <x:v>B-03_spa.png</x:v>
      </x:c>
      <x:c r="I22" s="20" t="str">
        <x:v>Caso propio.</x:v>
      </x:c>
    </x:row>
    <x:row r="23" ht="68" customHeight="1">
      <x:c r="A23" s="18" t="str">
        <x:v>C-05</x:v>
      </x:c>
      <x:c r="B23" s="18" t="str">
        <x:v>Cálculos</x:v>
      </x:c>
      <x:c r="C23" s="18" t="str">
        <x:v>Vitamina D y Naproxeno disponibles.</x:v>
      </x:c>
      <x:c r="D23" s="18" t="str">
        <x:v>Vitamina D 18.90×2 + Naproxeno 15.80×3.</x:v>
      </x:c>
      <x:c r="E23" s="18" t="str">
        <x:v>37.80 + 47.40 = S/85.20.</x:v>
      </x:c>
      <x:c r="F23" s="18" t="str">
        <x:v>Total estimado S/85.20.</x:v>
      </x:c>
      <x:c r="G23" s="24" t="str">
        <x:v>PASA</x:v>
      </x:c>
      <x:c r="H23" s="18" t="str">
        <x:v>C-05_spa.png</x:v>
      </x:c>
      <x:c r="I23" s="18" t="str">
        <x:v>Caso propio.</x:v>
      </x:c>
    </x:row>
    <x:row r="24" ht="68" customHeight="1">
      <x:c r="A24" s="20" t="str">
        <x:v>V-06</x:v>
      </x:c>
      <x:c r="B24" s="20" t="str">
        <x:v>Validaciones</x:v>
      </x:c>
      <x:c r="C24" s="20" t="str">
        <x:v>Producto inactivo ID 7; cliente activo ID 1.</x:v>
      </x:c>
      <x:c r="D24" s="20" t="str">
        <x:v>POST productoId 7 cantidad 1.</x:v>
      </x:c>
      <x:c r="E24" s="20" t="str">
        <x:v>409: producto inactivo; sin registrar.</x:v>
      </x:c>
      <x:c r="F24" s="20" t="str">
        <x:v>HTTP 409 «Producto inactivo: Producto inactivo».</x:v>
      </x:c>
      <x:c r="G24" s="24" t="str">
        <x:v>PASA</x:v>
      </x:c>
      <x:c r="H24" s="20" t="str">
        <x:v>V-06_spa.png</x:v>
      </x:c>
      <x:c r="I24" s="20" t="str">
        <x:v>Caso propio. Pendiente verificación adicional del stock.</x:v>
      </x:c>
    </x:row>
    <x:row r="25" ht="68" customHeight="1">
      <x:c r="A25" s="18" t="str">
        <x:v>X-02</x:v>
      </x:c>
      <x:c r="B25" s="18" t="str">
        <x:v>Consistencia</x:v>
      </x:c>
      <x:c r="C25" s="18" t="str">
        <x:v>Papel higiénico stock 13; venta 000029 registrada.</x:v>
      </x:c>
      <x:c r="D25" s="18" t="str">
        <x:v>Anular venta 000029.</x:v>
      </x:c>
      <x:c r="E25" s="18" t="str">
        <x:v>13+1=14; venta ANULADA.</x:v>
      </x:c>
      <x:c r="F25" s="18" t="str">
        <x:v>Sello ANULADA; stock subió de 13 a 14.</x:v>
      </x:c>
      <x:c r="G25" s="24" t="str">
        <x:v>PASA</x:v>
      </x:c>
      <x:c r="H25" s="18" t="str">
        <x:v>X-02_1.png, X-02_2.png, X-02_3.png</x:v>
      </x:c>
      <x:c r="I25" s="18" t="str">
        <x:v>Caso propio.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15" hidden="0" customWidth="1"/>
    <x:col min="3" max="3" width="15" hidden="0" customWidth="1"/>
    <x:col min="4" max="4" width="15" hidden="0" customWidth="1"/>
    <x:col min="5" max="5" width="35" hidden="0" customWidth="1"/>
  </x:cols>
  <x:sheetData>
    <x:row r="1" ht="32" customHeight="1">
      <x:c r="A1" s="3" t="str">
        <x:v>RESULTADOS Y SEGUIMIENTO</x:v>
      </x:c>
      <x:c r="B1" s="3"/>
      <x:c r="C1" s="3"/>
      <x:c r="D1" s="3"/>
      <x:c r="E1" s="3"/>
    </x:row>
    <x:row r="3">
      <x:c r="A3" s="11" t="str">
        <x:v>Grupo</x:v>
      </x:c>
      <x:c r="B3" s="11" t="str">
        <x:v>Casos</x:v>
      </x:c>
      <x:c r="C3" s="11" t="str">
        <x:v>Pasa</x:v>
      </x:c>
      <x:c r="D3" s="11" t="str">
        <x:v>Falla</x:v>
      </x:c>
    </x:row>
    <x:row r="4">
      <x:c r="A4" t="str">
        <x:v>Buscadores</x:v>
      </x:c>
      <x:c r="B4" t="n">
        <x:v>3</x:v>
      </x:c>
      <x:c r="C4" t="n">
        <x:f>COUNTIFS('Matriz 21 casos'!$B$5:$B$25,A4,'Matriz 21 casos'!$G$5:$G$25,"PASA")</x:f>
        <x:v>3</x:v>
      </x:c>
      <x:c r="D4" t="n">
        <x:f>COUNTIFS('Matriz 21 casos'!$B$5:$B$25,A4,'Matriz 21 casos'!$G$5:$G$25,"FALLA")</x:f>
        <x:v>0</x:v>
      </x:c>
    </x:row>
    <x:row r="5">
      <x:c r="A5" t="str">
        <x:v>Cálculos</x:v>
      </x:c>
      <x:c r="B5" t="n">
        <x:v>5</x:v>
      </x:c>
      <x:c r="C5" t="n">
        <x:f>COUNTIFS('Matriz 21 casos'!$B$5:$B$25,A5,'Matriz 21 casos'!$G$5:$G$25,"PASA")</x:f>
        <x:v>5</x:v>
      </x:c>
      <x:c r="D5" t="n">
        <x:f>COUNTIFS('Matriz 21 casos'!$B$5:$B$25,A5,'Matriz 21 casos'!$G$5:$G$25,"FALLA")</x:f>
        <x:v>0</x:v>
      </x:c>
    </x:row>
    <x:row r="6">
      <x:c r="A6" t="str">
        <x:v>Validaciones</x:v>
      </x:c>
      <x:c r="B6" t="n">
        <x:v>6</x:v>
      </x:c>
      <x:c r="C6" t="n">
        <x:f>COUNTIFS('Matriz 21 casos'!$B$5:$B$25,A6,'Matriz 21 casos'!$G$5:$G$25,"PASA")</x:f>
        <x:v>6</x:v>
      </x:c>
      <x:c r="D6" t="n">
        <x:f>COUNTIFS('Matriz 21 casos'!$B$5:$B$25,A6,'Matriz 21 casos'!$G$5:$G$25,"FALLA")</x:f>
        <x:v>0</x:v>
      </x:c>
    </x:row>
    <x:row r="7">
      <x:c r="A7" t="str">
        <x:v>Confirmación</x:v>
      </x:c>
      <x:c r="B7" t="n">
        <x:v>2</x:v>
      </x:c>
      <x:c r="C7" t="n">
        <x:f>COUNTIFS('Matriz 21 casos'!$B$5:$B$25,A7,'Matriz 21 casos'!$G$5:$G$25,"PASA")</x:f>
        <x:v>2</x:v>
      </x:c>
      <x:c r="D7" t="n">
        <x:f>COUNTIFS('Matriz 21 casos'!$B$5:$B$25,A7,'Matriz 21 casos'!$G$5:$G$25,"FALLA")</x:f>
        <x:v>0</x:v>
      </x:c>
    </x:row>
    <x:row r="8">
      <x:c r="A8" t="str">
        <x:v>Mensajes</x:v>
      </x:c>
      <x:c r="B8" t="n">
        <x:v>2</x:v>
      </x:c>
      <x:c r="C8" t="n">
        <x:f>COUNTIFS('Matriz 21 casos'!$B$5:$B$25,A8,'Matriz 21 casos'!$G$5:$G$25,"PASA")</x:f>
        <x:v>2</x:v>
      </x:c>
      <x:c r="D8" t="n">
        <x:f>COUNTIFS('Matriz 21 casos'!$B$5:$B$25,A8,'Matriz 21 casos'!$G$5:$G$25,"FALLA")</x:f>
        <x:v>0</x:v>
      </x:c>
    </x:row>
    <x:row r="9">
      <x:c r="A9" t="str">
        <x:v>Impresión</x:v>
      </x:c>
      <x:c r="B9" t="n">
        <x:v>1</x:v>
      </x:c>
      <x:c r="C9" t="n">
        <x:f>COUNTIFS('Matriz 21 casos'!$B$5:$B$25,A9,'Matriz 21 casos'!$G$5:$G$25,"PASA")</x:f>
        <x:v>1</x:v>
      </x:c>
      <x:c r="D9" t="n">
        <x:f>COUNTIFS('Matriz 21 casos'!$B$5:$B$25,A9,'Matriz 21 casos'!$G$5:$G$25,"FALLA")</x:f>
        <x:v>0</x:v>
      </x:c>
    </x:row>
    <x:row r="10">
      <x:c r="A10" t="str">
        <x:v>Consistencia</x:v>
      </x:c>
      <x:c r="B10" t="n">
        <x:v>2</x:v>
      </x:c>
      <x:c r="C10" t="n">
        <x:f>COUNTIFS('Matriz 21 casos'!$B$5:$B$25,A10,'Matriz 21 casos'!$G$5:$G$25,"PASA")</x:f>
        <x:v>2</x:v>
      </x:c>
      <x:c r="D10" t="n">
        <x:f>COUNTIFS('Matriz 21 casos'!$B$5:$B$25,A10,'Matriz 21 casos'!$G$5:$G$25,"FALLA")</x:f>
        <x:v>0</x:v>
      </x:c>
    </x:row>
    <x:row r="12">
      <x:c r="A12" s="29" t="str">
        <x:v>TOTAL</x:v>
      </x:c>
      <x:c r="B12" s="29" t="n">
        <x:f>SUM(B4:B10)</x:f>
        <x:v>21</x:v>
      </x:c>
      <x:c r="C12" s="29" t="n">
        <x:f>SUM(C4:C10)</x:f>
        <x:v>21</x:v>
      </x:c>
      <x:c r="D12" s="29" t="n">
        <x:f>SUM(D4:D10)</x:f>
        <x:v>0</x:v>
      </x:c>
    </x:row>
    <x:row r="15">
      <x:c r="A15" s="32" t="str">
        <x:v>HALLAZGOS Y LIMITACIONES DE LA EVIDENCIA</x:v>
      </x:c>
      <x:c r="B15" s="32"/>
      <x:c r="C15" s="32"/>
      <x:c r="D15" s="32"/>
      <x:c r="E15" s="32"/>
    </x:row>
    <x:row r="17" ht="35" customHeight="1">
      <x:c r="A17" s="16" t="str">
        <x:v>V-02: total visual S/31.25 para cantidad inválida 2.5; el formulario bloquea confirmación.</x:v>
      </x:c>
      <x:c r="B17" s="16"/>
      <x:c r="C17" s="16"/>
      <x:c r="D17" s="16"/>
      <x:c r="E17" s="16"/>
    </x:row>
    <x:row r="18" ht="35" customHeight="1">
      <x:c r="A18" s="16" t="str">
        <x:v>M-01: después del 409, la línea puede quedar sin nombre y con S/0.00; se logró sustituir el producto sin recargar.</x:v>
      </x:c>
      <x:c r="B18" s="16"/>
      <x:c r="C18" s="16"/>
      <x:c r="D18" s="16"/>
      <x:c r="E18" s="16"/>
    </x:row>
    <x:row r="19" ht="35" customHeight="1">
      <x:c r="A19" s="16" t="str">
        <x:v>B-01: verificar en Clientes que DNI 70123456 sea efectivamente el cliente inactivo.</x:v>
      </x:c>
      <x:c r="B19" s="16"/>
      <x:c r="C19" s="16"/>
      <x:c r="D19" s="16"/>
      <x:c r="E19" s="16"/>
    </x:row>
    <x:row r="20" ht="35" customHeight="1">
      <x:c r="A20" s="16" t="str">
        <x:v>F-02: la captura acredita un POST; no captura el instante en que se deshabilita el botón.</x:v>
      </x:c>
      <x:c r="B20" s="16"/>
      <x:c r="C20" s="16"/>
      <x:c r="D20" s="16"/>
      <x:c r="E20" s="16"/>
    </x:row>
    <x:row r="21" ht="35" customHeight="1">
      <x:c r="A21" s="16" t="str">
        <x:v>I-01: vistas de PDF demostradas; conservar los PDF originales además de las imágenes.</x:v>
      </x:c>
      <x:c r="B21" s="16"/>
      <x:c r="C21" s="16"/>
      <x:c r="D21" s="16"/>
      <x:c r="E21" s="16"/>
    </x:row>
    <x:row r="22" ht="35" customHeight="1">
      <x:c r="A22" s="16" t="str">
        <x:v>Validaciones de SPA mediante Postman: faltan pruebas adicionales de cantidad 0 y decimal si se exigen para toda regla.</x:v>
      </x:c>
      <x:c r="B22" s="16"/>
      <x:c r="C22" s="16"/>
      <x:c r="D22" s="16"/>
      <x:c r="E22" s="16"/>
    </x:row>
  </x:sheetData>
  <x:mergeCells>
    <x:mergeCell ref="A1:E1"/>
    <x:mergeCell ref="A15:E15"/>
    <x:mergeCell ref="A17:E17"/>
    <x:mergeCell ref="A18:E18"/>
    <x:mergeCell ref="A19:E19"/>
    <x:mergeCell ref="A20:E20"/>
    <x:mergeCell ref="A21:E21"/>
    <x:mergeCell ref="A22:E22"/>
  </x:mergeCells>
  <x:pageMargins left="0.7" right="0.7" top="0.75" bottom="0.75" header="0.3" footer="0.3"/>
</x:worksheet>
</file>